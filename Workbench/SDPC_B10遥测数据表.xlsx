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65" windowHeight="12360"/>
  </bookViews>
  <sheets>
    <sheet name="遥测监控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<sst xmlns="http://schemas.openxmlformats.org/spreadsheetml/2006/main" count="153" uniqueCount="53">
  <si>
    <t>编号</t>
  </si>
  <si>
    <t>遥测代号</t>
  </si>
  <si>
    <t>数据位置</t>
  </si>
  <si>
    <t>解析内容(bit)</t>
  </si>
  <si>
    <t>比特长度</t>
  </si>
  <si>
    <t>解析要求</t>
  </si>
  <si>
    <t>单位</t>
  </si>
  <si>
    <t>byte0</t>
  </si>
  <si>
    <t>b7-b4</t>
  </si>
  <si>
    <t>0x0:状态1
0x1:状态2
0x2:状态3
0x4:状态4</t>
  </si>
  <si>
    <t>无</t>
  </si>
  <si>
    <t>b3-b0</t>
  </si>
  <si>
    <t>byte1</t>
  </si>
  <si>
    <t>byte2</t>
  </si>
  <si>
    <t>byte3</t>
  </si>
  <si>
    <t>b7</t>
  </si>
  <si>
    <t>0x0:否
0x1:是</t>
  </si>
  <si>
    <t>b6</t>
  </si>
  <si>
    <t>b5</t>
  </si>
  <si>
    <t>b4</t>
  </si>
  <si>
    <t>b3</t>
  </si>
  <si>
    <t>b2</t>
  </si>
  <si>
    <t>b1</t>
  </si>
  <si>
    <t>b0</t>
  </si>
  <si>
    <t>byte4-byte5</t>
  </si>
  <si>
    <t>b15-b0</t>
  </si>
  <si>
    <t>y=x</t>
  </si>
  <si>
    <t>%</t>
  </si>
  <si>
    <t>byte6-byte7</t>
  </si>
  <si>
    <t>byte8-byte9</t>
  </si>
  <si>
    <t>y=0.001x</t>
  </si>
  <si>
    <t>℃</t>
  </si>
  <si>
    <t>byte10-byte11</t>
  </si>
  <si>
    <t>byte12-byte13</t>
  </si>
  <si>
    <t>V</t>
  </si>
  <si>
    <t>byte14-byte15</t>
  </si>
  <si>
    <t>byte16-byte17</t>
  </si>
  <si>
    <t>byte18-byte19</t>
  </si>
  <si>
    <t>byte20-byte21</t>
  </si>
  <si>
    <t>byte22-byte23</t>
  </si>
  <si>
    <t>y=0.001(30000-x)</t>
  </si>
  <si>
    <t>A</t>
  </si>
  <si>
    <t>byte24-byte25</t>
  </si>
  <si>
    <t>byte26-byte27</t>
  </si>
  <si>
    <t>byte28-byte29</t>
  </si>
  <si>
    <t>b31-b0</t>
  </si>
  <si>
    <t>byte54-byte55</t>
  </si>
  <si>
    <t>b15-b12</t>
  </si>
  <si>
    <t>b11-b0</t>
  </si>
  <si>
    <t>byte56-byte59</t>
  </si>
  <si>
    <t>b31</t>
  </si>
  <si>
    <t>b30-b15</t>
  </si>
  <si>
    <t>b14-b0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</si>
</sst>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5" borderId="5" applyNumberFormat="0" applyAlignment="0" applyProtection="0">
      <alignment vertical="center"/>
    </xf>
    <xf numFmtId="0" fontId="10" fillId="6" borderId="6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7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0" fillId="2" borderId="1" xfId="0" applyFill="1" applyBorder="1"/>
    <xf numFmtId="0" fontId="0" fillId="2" borderId="1" xfId="0" applyFill="1" applyBorder="1" applyAlignment="1">
      <alignment wrapText="1"/>
    </xf>
    <xf numFmtId="0" fontId="0" fillId="3" borderId="1" xfId="0" applyFill="1" applyBorder="1"/>
    <xf numFmtId="0" fontId="0" fillId="3" borderId="1" xfId="0" applyFill="1" applyBorder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9"/>
  <sheetViews>
    <sheetView tabSelected="1" topLeftCell="A3" workbookViewId="0">
      <selection activeCell="F4" sqref="F4"/>
    </sheetView>
  </sheetViews>
  <sheetFormatPr defaultColWidth="9" defaultRowHeight="14.25" outlineLevelCol="6"/>
  <cols>
    <col min="1" max="1" width="6" customWidth="1"/>
    <col min="2" max="4" width="27.25" customWidth="1"/>
    <col min="5" max="5" width="11.125" customWidth="1"/>
    <col min="6" max="6" width="15.62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57" spans="1:7">
      <c r="A2" s="1">
        <f>ROW()-1</f>
        <v>1</v>
      </c>
      <c r="B2" s="1" t="str">
        <f>"yc"&amp;ROW()-1</f>
        <v>yc1</v>
      </c>
      <c r="C2" s="1" t="s">
        <v>7</v>
      </c>
      <c r="D2" s="1" t="s">
        <v>8</v>
      </c>
      <c r="E2" s="1">
        <v>4</v>
      </c>
      <c r="F2" s="2" t="s">
        <v>9</v>
      </c>
      <c r="G2" s="1" t="s">
        <v>10</v>
      </c>
    </row>
    <row r="3" ht="57" spans="1:7">
      <c r="A3" s="1">
        <f t="shared" ref="A3:A44" si="0">ROW()-1</f>
        <v>2</v>
      </c>
      <c r="B3" s="1" t="str">
        <f t="shared" ref="B3:B44" si="1">"yc"&amp;ROW()-1</f>
        <v>yc2</v>
      </c>
      <c r="C3" s="1" t="s">
        <v>7</v>
      </c>
      <c r="D3" s="1" t="s">
        <v>11</v>
      </c>
      <c r="E3" s="1">
        <v>4</v>
      </c>
      <c r="F3" s="2" t="s">
        <v>9</v>
      </c>
      <c r="G3" s="1" t="s">
        <v>10</v>
      </c>
    </row>
    <row r="4" ht="57" spans="1:7">
      <c r="A4" s="1">
        <f t="shared" si="0"/>
        <v>3</v>
      </c>
      <c r="B4" s="1" t="str">
        <f t="shared" si="1"/>
        <v>yc3</v>
      </c>
      <c r="C4" s="1" t="s">
        <v>12</v>
      </c>
      <c r="D4" s="1" t="s">
        <v>8</v>
      </c>
      <c r="E4" s="1">
        <v>4</v>
      </c>
      <c r="F4" s="2" t="s">
        <v>9</v>
      </c>
      <c r="G4" s="1" t="s">
        <v>10</v>
      </c>
    </row>
    <row r="5" ht="57" spans="1:7">
      <c r="A5" s="1">
        <f t="shared" si="0"/>
        <v>4</v>
      </c>
      <c r="B5" s="1" t="str">
        <f t="shared" si="1"/>
        <v>yc4</v>
      </c>
      <c r="C5" s="1" t="s">
        <v>12</v>
      </c>
      <c r="D5" s="1" t="s">
        <v>11</v>
      </c>
      <c r="E5" s="1">
        <v>4</v>
      </c>
      <c r="F5" s="2" t="s">
        <v>9</v>
      </c>
      <c r="G5" s="1" t="s">
        <v>10</v>
      </c>
    </row>
    <row r="6" ht="57" spans="1:7">
      <c r="A6" s="1">
        <f t="shared" si="0"/>
        <v>5</v>
      </c>
      <c r="B6" s="1" t="str">
        <f t="shared" si="1"/>
        <v>yc5</v>
      </c>
      <c r="C6" s="1" t="s">
        <v>13</v>
      </c>
      <c r="D6" s="1" t="s">
        <v>8</v>
      </c>
      <c r="E6" s="1">
        <v>4</v>
      </c>
      <c r="F6" s="2" t="s">
        <v>9</v>
      </c>
      <c r="G6" s="1" t="s">
        <v>10</v>
      </c>
    </row>
    <row r="7" ht="57" spans="1:7">
      <c r="A7" s="1">
        <f t="shared" si="0"/>
        <v>6</v>
      </c>
      <c r="B7" s="1" t="str">
        <f t="shared" si="1"/>
        <v>yc6</v>
      </c>
      <c r="C7" s="1" t="s">
        <v>13</v>
      </c>
      <c r="D7" s="1" t="s">
        <v>11</v>
      </c>
      <c r="E7" s="1">
        <v>4</v>
      </c>
      <c r="F7" s="2" t="s">
        <v>9</v>
      </c>
      <c r="G7" s="1" t="s">
        <v>10</v>
      </c>
    </row>
    <row r="8" ht="28.5" spans="1:7">
      <c r="A8" s="1">
        <f t="shared" si="0"/>
        <v>7</v>
      </c>
      <c r="B8" s="1" t="str">
        <f t="shared" si="1"/>
        <v>yc7</v>
      </c>
      <c r="C8" s="1" t="s">
        <v>14</v>
      </c>
      <c r="D8" s="1" t="s">
        <v>15</v>
      </c>
      <c r="E8" s="1">
        <v>1</v>
      </c>
      <c r="F8" s="2" t="s">
        <v>16</v>
      </c>
      <c r="G8" s="1" t="s">
        <v>10</v>
      </c>
    </row>
    <row r="9" ht="28.5" spans="1:7">
      <c r="A9" s="1">
        <f t="shared" si="0"/>
        <v>8</v>
      </c>
      <c r="B9" s="1" t="str">
        <f t="shared" si="1"/>
        <v>yc8</v>
      </c>
      <c r="C9" s="1" t="s">
        <v>14</v>
      </c>
      <c r="D9" s="1" t="s">
        <v>17</v>
      </c>
      <c r="E9" s="1">
        <v>1</v>
      </c>
      <c r="F9" s="2" t="s">
        <v>16</v>
      </c>
      <c r="G9" s="1" t="s">
        <v>10</v>
      </c>
    </row>
    <row r="10" ht="28.5" spans="1:7">
      <c r="A10" s="1">
        <f t="shared" si="0"/>
        <v>9</v>
      </c>
      <c r="B10" s="1" t="str">
        <f t="shared" si="1"/>
        <v>yc9</v>
      </c>
      <c r="C10" s="1" t="s">
        <v>14</v>
      </c>
      <c r="D10" s="1" t="s">
        <v>18</v>
      </c>
      <c r="E10" s="1">
        <v>1</v>
      </c>
      <c r="F10" s="2" t="s">
        <v>16</v>
      </c>
      <c r="G10" s="1" t="s">
        <v>10</v>
      </c>
    </row>
    <row r="11" ht="28.5" spans="1:7">
      <c r="A11" s="1">
        <f t="shared" si="0"/>
        <v>10</v>
      </c>
      <c r="B11" s="1" t="str">
        <f t="shared" si="1"/>
        <v>yc10</v>
      </c>
      <c r="C11" s="1" t="s">
        <v>14</v>
      </c>
      <c r="D11" s="1" t="s">
        <v>19</v>
      </c>
      <c r="E11" s="1">
        <v>1</v>
      </c>
      <c r="F11" s="2" t="s">
        <v>16</v>
      </c>
      <c r="G11" s="1" t="s">
        <v>10</v>
      </c>
    </row>
    <row r="12" ht="28.5" spans="1:7">
      <c r="A12" s="1">
        <f t="shared" si="0"/>
        <v>11</v>
      </c>
      <c r="B12" s="1" t="str">
        <f t="shared" si="1"/>
        <v>yc11</v>
      </c>
      <c r="C12" s="1" t="s">
        <v>14</v>
      </c>
      <c r="D12" s="1" t="s">
        <v>20</v>
      </c>
      <c r="E12" s="1">
        <v>1</v>
      </c>
      <c r="F12" s="2" t="s">
        <v>16</v>
      </c>
      <c r="G12" s="1" t="s">
        <v>10</v>
      </c>
    </row>
    <row r="13" ht="28.5" spans="1:7">
      <c r="A13" s="1">
        <f t="shared" si="0"/>
        <v>12</v>
      </c>
      <c r="B13" s="1" t="str">
        <f t="shared" si="1"/>
        <v>yc12</v>
      </c>
      <c r="C13" s="1" t="s">
        <v>14</v>
      </c>
      <c r="D13" s="1" t="s">
        <v>21</v>
      </c>
      <c r="E13" s="1">
        <v>1</v>
      </c>
      <c r="F13" s="2" t="s">
        <v>16</v>
      </c>
      <c r="G13" s="1" t="s">
        <v>10</v>
      </c>
    </row>
    <row r="14" ht="28.5" spans="1:7">
      <c r="A14" s="1">
        <f t="shared" si="0"/>
        <v>13</v>
      </c>
      <c r="B14" s="1" t="str">
        <f t="shared" si="1"/>
        <v>yc13</v>
      </c>
      <c r="C14" s="1" t="s">
        <v>14</v>
      </c>
      <c r="D14" s="1" t="s">
        <v>22</v>
      </c>
      <c r="E14" s="1">
        <v>1</v>
      </c>
      <c r="F14" s="2" t="s">
        <v>16</v>
      </c>
      <c r="G14" s="1" t="s">
        <v>10</v>
      </c>
    </row>
    <row r="15" ht="28.5" spans="1:7">
      <c r="A15" s="1">
        <f t="shared" si="0"/>
        <v>14</v>
      </c>
      <c r="B15" s="1" t="str">
        <f t="shared" si="1"/>
        <v>yc14</v>
      </c>
      <c r="C15" s="1" t="s">
        <v>14</v>
      </c>
      <c r="D15" s="1" t="s">
        <v>23</v>
      </c>
      <c r="E15" s="1">
        <v>1</v>
      </c>
      <c r="F15" s="2" t="s">
        <v>16</v>
      </c>
      <c r="G15" s="1" t="s">
        <v>10</v>
      </c>
    </row>
    <row r="16" spans="1:7">
      <c r="A16" s="1">
        <f t="shared" si="0"/>
        <v>15</v>
      </c>
      <c r="B16" s="1" t="str">
        <f t="shared" si="1"/>
        <v>yc15</v>
      </c>
      <c r="C16" s="1" t="s">
        <v>24</v>
      </c>
      <c r="D16" s="1" t="s">
        <v>25</v>
      </c>
      <c r="E16" s="1">
        <v>16</v>
      </c>
      <c r="F16" s="2" t="s">
        <v>26</v>
      </c>
      <c r="G16" s="1" t="s">
        <v>27</v>
      </c>
    </row>
    <row r="17" spans="1:7">
      <c r="A17" s="1">
        <f t="shared" si="0"/>
        <v>16</v>
      </c>
      <c r="B17" s="1" t="str">
        <f t="shared" si="1"/>
        <v>yc16</v>
      </c>
      <c r="C17" s="1" t="s">
        <v>28</v>
      </c>
      <c r="D17" s="1" t="s">
        <v>25</v>
      </c>
      <c r="E17" s="1">
        <v>16</v>
      </c>
      <c r="F17" s="2" t="s">
        <v>26</v>
      </c>
      <c r="G17" s="1" t="s">
        <v>27</v>
      </c>
    </row>
    <row r="18" spans="1:7">
      <c r="A18" s="1">
        <f t="shared" si="0"/>
        <v>17</v>
      </c>
      <c r="B18" s="1" t="str">
        <f t="shared" si="1"/>
        <v>yc17</v>
      </c>
      <c r="C18" s="1" t="s">
        <v>29</v>
      </c>
      <c r="D18" s="1" t="s">
        <v>25</v>
      </c>
      <c r="E18" s="1">
        <v>16</v>
      </c>
      <c r="F18" s="2" t="s">
        <v>30</v>
      </c>
      <c r="G18" s="1" t="s">
        <v>31</v>
      </c>
    </row>
    <row r="19" spans="1:7">
      <c r="A19" s="1">
        <f t="shared" si="0"/>
        <v>18</v>
      </c>
      <c r="B19" s="1" t="str">
        <f t="shared" si="1"/>
        <v>yc18</v>
      </c>
      <c r="C19" s="1" t="s">
        <v>32</v>
      </c>
      <c r="D19" s="1" t="s">
        <v>25</v>
      </c>
      <c r="E19" s="1">
        <v>16</v>
      </c>
      <c r="F19" s="2" t="s">
        <v>30</v>
      </c>
      <c r="G19" s="1" t="s">
        <v>31</v>
      </c>
    </row>
    <row r="20" spans="1:7">
      <c r="A20" s="1">
        <f t="shared" si="0"/>
        <v>19</v>
      </c>
      <c r="B20" s="1" t="str">
        <f t="shared" si="1"/>
        <v>yc19</v>
      </c>
      <c r="C20" s="1" t="s">
        <v>33</v>
      </c>
      <c r="D20" s="1" t="s">
        <v>25</v>
      </c>
      <c r="E20" s="1">
        <v>16</v>
      </c>
      <c r="F20" s="2" t="s">
        <v>30</v>
      </c>
      <c r="G20" s="1" t="s">
        <v>34</v>
      </c>
    </row>
    <row r="21" spans="1:7">
      <c r="A21" s="1">
        <f t="shared" si="0"/>
        <v>20</v>
      </c>
      <c r="B21" s="1" t="str">
        <f t="shared" si="1"/>
        <v>yc20</v>
      </c>
      <c r="C21" s="1" t="s">
        <v>35</v>
      </c>
      <c r="D21" s="1" t="s">
        <v>25</v>
      </c>
      <c r="E21" s="1">
        <v>16</v>
      </c>
      <c r="F21" s="2" t="s">
        <v>30</v>
      </c>
      <c r="G21" s="1" t="s">
        <v>34</v>
      </c>
    </row>
    <row r="22" spans="1:7">
      <c r="A22" s="1">
        <f t="shared" si="0"/>
        <v>21</v>
      </c>
      <c r="B22" s="1" t="str">
        <f t="shared" si="1"/>
        <v>yc21</v>
      </c>
      <c r="C22" s="1" t="s">
        <v>36</v>
      </c>
      <c r="D22" s="1" t="s">
        <v>25</v>
      </c>
      <c r="E22" s="1">
        <v>16</v>
      </c>
      <c r="F22" s="2" t="s">
        <v>30</v>
      </c>
      <c r="G22" s="1" t="s">
        <v>34</v>
      </c>
    </row>
    <row r="23" spans="1:7">
      <c r="A23" s="1">
        <f t="shared" si="0"/>
        <v>22</v>
      </c>
      <c r="B23" s="1" t="str">
        <f t="shared" si="1"/>
        <v>yc22</v>
      </c>
      <c r="C23" s="1" t="s">
        <v>37</v>
      </c>
      <c r="D23" s="1" t="s">
        <v>25</v>
      </c>
      <c r="E23" s="1">
        <v>16</v>
      </c>
      <c r="F23" s="2" t="s">
        <v>30</v>
      </c>
      <c r="G23" s="1" t="s">
        <v>34</v>
      </c>
    </row>
    <row r="24" spans="1:7">
      <c r="A24" s="1">
        <f t="shared" si="0"/>
        <v>23</v>
      </c>
      <c r="B24" s="1" t="str">
        <f t="shared" si="1"/>
        <v>yc23</v>
      </c>
      <c r="C24" s="1" t="s">
        <v>38</v>
      </c>
      <c r="D24" s="1" t="s">
        <v>25</v>
      </c>
      <c r="E24" s="1">
        <v>16</v>
      </c>
      <c r="F24" s="2" t="s">
        <v>30</v>
      </c>
      <c r="G24" s="1" t="s">
        <v>34</v>
      </c>
    </row>
    <row r="25" spans="1:7">
      <c r="A25" s="1">
        <f t="shared" si="0"/>
        <v>24</v>
      </c>
      <c r="B25" s="1" t="str">
        <f t="shared" si="1"/>
        <v>yc24</v>
      </c>
      <c r="C25" s="1" t="s">
        <v>39</v>
      </c>
      <c r="D25" s="1" t="s">
        <v>25</v>
      </c>
      <c r="E25" s="1">
        <v>16</v>
      </c>
      <c r="F25" s="2" t="s">
        <v>40</v>
      </c>
      <c r="G25" s="1" t="s">
        <v>41</v>
      </c>
    </row>
    <row r="26" spans="1:7">
      <c r="A26" s="1">
        <f t="shared" si="0"/>
        <v>25</v>
      </c>
      <c r="B26" s="1" t="str">
        <f t="shared" si="1"/>
        <v>yc25</v>
      </c>
      <c r="C26" s="1" t="s">
        <v>42</v>
      </c>
      <c r="D26" s="1" t="s">
        <v>25</v>
      </c>
      <c r="E26" s="1">
        <v>16</v>
      </c>
      <c r="F26" s="2" t="s">
        <v>40</v>
      </c>
      <c r="G26" s="1" t="s">
        <v>41</v>
      </c>
    </row>
    <row r="27" spans="1:7">
      <c r="A27" s="1">
        <f t="shared" si="0"/>
        <v>26</v>
      </c>
      <c r="B27" s="1" t="str">
        <f t="shared" si="1"/>
        <v>yc26</v>
      </c>
      <c r="C27" s="1" t="s">
        <v>43</v>
      </c>
      <c r="D27" s="1" t="s">
        <v>25</v>
      </c>
      <c r="E27" s="1">
        <v>16</v>
      </c>
      <c r="F27" s="2" t="s">
        <v>40</v>
      </c>
      <c r="G27" s="1" t="s">
        <v>41</v>
      </c>
    </row>
    <row r="28" spans="1:7">
      <c r="A28" s="1">
        <f t="shared" si="0"/>
        <v>27</v>
      </c>
      <c r="B28" s="1" t="str">
        <f t="shared" si="1"/>
        <v>yc27</v>
      </c>
      <c r="C28" s="1" t="s">
        <v>44</v>
      </c>
      <c r="D28" s="1" t="s">
        <v>25</v>
      </c>
      <c r="E28" s="1">
        <v>16</v>
      </c>
      <c r="F28" s="2" t="s">
        <v>40</v>
      </c>
      <c r="G28" s="1" t="s">
        <v>41</v>
      </c>
    </row>
    <row r="29" spans="1:7">
      <c r="A29" s="1">
        <f t="shared" si="0"/>
        <v>28</v>
      </c>
      <c r="B29" s="1" t="str">
        <f t="shared" si="1"/>
        <v>yc28</v>
      </c>
      <c r="C29" s="1" t="str">
        <f>"byte"&amp;(ROW()-29)*4+30&amp;"-byte"&amp;(ROW()-29)*4+33</f>
        <v>byte30-byte33</v>
      </c>
      <c r="D29" s="1" t="s">
        <v>45</v>
      </c>
      <c r="E29" s="1">
        <v>32</v>
      </c>
      <c r="F29" s="2" t="s">
        <v>30</v>
      </c>
      <c r="G29" s="1" t="s">
        <v>34</v>
      </c>
    </row>
    <row r="30" spans="1:7">
      <c r="A30" s="1">
        <f t="shared" si="0"/>
        <v>29</v>
      </c>
      <c r="B30" s="1" t="str">
        <f t="shared" si="1"/>
        <v>yc29</v>
      </c>
      <c r="C30" s="1" t="str">
        <f t="shared" ref="C30:C34" si="2">"byte"&amp;(ROW()-29)*4+30&amp;"-byte"&amp;(ROW()-29)*4+33</f>
        <v>byte34-byte37</v>
      </c>
      <c r="D30" s="1" t="s">
        <v>45</v>
      </c>
      <c r="E30" s="1">
        <v>32</v>
      </c>
      <c r="F30" s="2" t="s">
        <v>30</v>
      </c>
      <c r="G30" s="1" t="s">
        <v>34</v>
      </c>
    </row>
    <row r="31" spans="1:7">
      <c r="A31" s="1">
        <f t="shared" si="0"/>
        <v>30</v>
      </c>
      <c r="B31" s="1" t="str">
        <f t="shared" si="1"/>
        <v>yc30</v>
      </c>
      <c r="C31" s="1" t="str">
        <f t="shared" si="2"/>
        <v>byte38-byte41</v>
      </c>
      <c r="D31" s="1" t="s">
        <v>45</v>
      </c>
      <c r="E31" s="1">
        <v>32</v>
      </c>
      <c r="F31" s="2" t="s">
        <v>30</v>
      </c>
      <c r="G31" s="1" t="s">
        <v>34</v>
      </c>
    </row>
    <row r="32" spans="1:7">
      <c r="A32" s="1">
        <f t="shared" si="0"/>
        <v>31</v>
      </c>
      <c r="B32" s="1" t="str">
        <f t="shared" si="1"/>
        <v>yc31</v>
      </c>
      <c r="C32" s="1" t="str">
        <f t="shared" si="2"/>
        <v>byte42-byte45</v>
      </c>
      <c r="D32" s="1" t="s">
        <v>45</v>
      </c>
      <c r="E32" s="1">
        <v>32</v>
      </c>
      <c r="F32" s="2" t="s">
        <v>30</v>
      </c>
      <c r="G32" s="1" t="s">
        <v>34</v>
      </c>
    </row>
    <row r="33" spans="1:7">
      <c r="A33" s="1">
        <f t="shared" si="0"/>
        <v>32</v>
      </c>
      <c r="B33" s="1" t="str">
        <f t="shared" si="1"/>
        <v>yc32</v>
      </c>
      <c r="C33" s="1" t="str">
        <f t="shared" si="2"/>
        <v>byte46-byte49</v>
      </c>
      <c r="D33" s="1" t="s">
        <v>45</v>
      </c>
      <c r="E33" s="1">
        <v>32</v>
      </c>
      <c r="F33" s="2" t="s">
        <v>30</v>
      </c>
      <c r="G33" s="1" t="s">
        <v>34</v>
      </c>
    </row>
    <row r="34" spans="1:7">
      <c r="A34" s="1">
        <f t="shared" si="0"/>
        <v>33</v>
      </c>
      <c r="B34" s="1" t="str">
        <f t="shared" si="1"/>
        <v>yc33</v>
      </c>
      <c r="C34" s="1" t="str">
        <f t="shared" si="2"/>
        <v>byte50-byte53</v>
      </c>
      <c r="D34" s="1" t="s">
        <v>45</v>
      </c>
      <c r="E34" s="1">
        <v>32</v>
      </c>
      <c r="F34" s="2" t="s">
        <v>30</v>
      </c>
      <c r="G34" s="1" t="s">
        <v>34</v>
      </c>
    </row>
    <row r="35" ht="57" spans="1:7">
      <c r="A35" s="3">
        <f t="shared" si="0"/>
        <v>34</v>
      </c>
      <c r="B35" s="3" t="str">
        <f t="shared" si="1"/>
        <v>yc34</v>
      </c>
      <c r="C35" s="3" t="s">
        <v>46</v>
      </c>
      <c r="D35" s="3" t="s">
        <v>47</v>
      </c>
      <c r="E35" s="3">
        <v>4</v>
      </c>
      <c r="F35" s="4" t="s">
        <v>9</v>
      </c>
      <c r="G35" s="3" t="s">
        <v>10</v>
      </c>
    </row>
    <row r="36" spans="1:7">
      <c r="A36" s="3">
        <f t="shared" si="0"/>
        <v>35</v>
      </c>
      <c r="B36" s="3" t="str">
        <f t="shared" si="1"/>
        <v>yc35</v>
      </c>
      <c r="C36" s="3" t="s">
        <v>46</v>
      </c>
      <c r="D36" s="3" t="s">
        <v>48</v>
      </c>
      <c r="E36" s="3">
        <v>12</v>
      </c>
      <c r="F36" s="4" t="s">
        <v>40</v>
      </c>
      <c r="G36" s="3" t="s">
        <v>41</v>
      </c>
    </row>
    <row r="37" ht="28.5" spans="1:7">
      <c r="A37" s="5">
        <f t="shared" si="0"/>
        <v>36</v>
      </c>
      <c r="B37" s="5" t="str">
        <f t="shared" si="1"/>
        <v>yc36</v>
      </c>
      <c r="C37" s="5" t="s">
        <v>49</v>
      </c>
      <c r="D37" s="5" t="s">
        <v>50</v>
      </c>
      <c r="E37" s="5">
        <v>1</v>
      </c>
      <c r="F37" s="6" t="s">
        <v>16</v>
      </c>
      <c r="G37" s="5" t="s">
        <v>10</v>
      </c>
    </row>
    <row r="38" spans="1:7">
      <c r="A38" s="5">
        <f t="shared" si="0"/>
        <v>37</v>
      </c>
      <c r="B38" s="5" t="str">
        <f t="shared" si="1"/>
        <v>yc37</v>
      </c>
      <c r="C38" s="5" t="s">
        <v>49</v>
      </c>
      <c r="D38" s="5" t="s">
        <v>51</v>
      </c>
      <c r="E38" s="5">
        <v>16</v>
      </c>
      <c r="F38" s="6" t="s">
        <v>30</v>
      </c>
      <c r="G38" s="5" t="s">
        <v>34</v>
      </c>
    </row>
    <row r="39" spans="1:7">
      <c r="A39" s="5">
        <f t="shared" si="0"/>
        <v>38</v>
      </c>
      <c r="B39" s="5" t="str">
        <f t="shared" si="1"/>
        <v>yc38</v>
      </c>
      <c r="C39" s="5" t="s">
        <v>49</v>
      </c>
      <c r="D39" s="5" t="s">
        <v>52</v>
      </c>
      <c r="E39" s="5">
        <v>15</v>
      </c>
      <c r="F39" s="6" t="s">
        <v>30</v>
      </c>
      <c r="G39" s="5" t="s">
        <v>34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遥测监控表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龙龙</cp:lastModifiedBy>
  <dcterms:created xsi:type="dcterms:W3CDTF">2015-06-05T18:19:00Z</dcterms:created>
  <dcterms:modified xsi:type="dcterms:W3CDTF">2025-11-03T06:31:56Z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5F458B85E29649539F1A3294D74CC392_13</vt:lpwstr>
  </property>
  <property fmtid="{D5CDD505-2E9C-101B-9397-08002B2CF9AE}" pid="3" name="KSOProductBuildVer">
    <vt:lpwstr>2052-...</vt:lpwstr>
  </property>
</Properties>
</file>